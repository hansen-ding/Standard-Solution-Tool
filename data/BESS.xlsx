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.ding\Desktop\111\Sales Tool\Standard-Solution-Tool\data\"/>
    </mc:Choice>
  </mc:AlternateContent>
  <xr:revisionPtr revIDLastSave="0" documentId="13_ncr:1_{D8744D31-E2BD-4CDE-9924-95CEB488E0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B3" i="1"/>
  <c r="E13" i="1"/>
  <c r="F13" i="1"/>
  <c r="G13" i="1"/>
  <c r="D13" i="1"/>
  <c r="E12" i="1"/>
  <c r="F12" i="1"/>
  <c r="G12" i="1"/>
  <c r="D12" i="1"/>
  <c r="E11" i="1"/>
  <c r="F11" i="1"/>
  <c r="G11" i="1"/>
  <c r="D11" i="1"/>
  <c r="E10" i="1"/>
  <c r="F10" i="1"/>
  <c r="G10" i="1"/>
  <c r="D10" i="1"/>
  <c r="E9" i="1"/>
  <c r="F9" i="1"/>
  <c r="G9" i="1"/>
  <c r="D9" i="1"/>
  <c r="E8" i="1"/>
  <c r="F8" i="1"/>
  <c r="G8" i="1"/>
  <c r="D8" i="1"/>
  <c r="E14" i="1"/>
  <c r="F14" i="1"/>
  <c r="G14" i="1"/>
  <c r="D14" i="1"/>
</calcChain>
</file>

<file path=xl/sharedStrings.xml><?xml version="1.0" encoding="utf-8"?>
<sst xmlns="http://schemas.openxmlformats.org/spreadsheetml/2006/main" count="27" uniqueCount="27">
  <si>
    <t>Primary Inputs</t>
  </si>
  <si>
    <t>ESD1267-05P760-G</t>
  </si>
  <si>
    <t>ESD1126-05P676-G</t>
  </si>
  <si>
    <t>ESD985-05P591-G</t>
  </si>
  <si>
    <t>ESD844-05P507-G</t>
  </si>
  <si>
    <t>ESD704-05P422-G</t>
  </si>
  <si>
    <t>ESD563-05P338-G</t>
  </si>
  <si>
    <t>Nominal Voltage</t>
  </si>
  <si>
    <t>100% DOD Min Vol</t>
  </si>
  <si>
    <t>100% DOD Max Vol</t>
  </si>
  <si>
    <t>95% DOD Min Vol</t>
  </si>
  <si>
    <t>95% DOD Max Vol</t>
  </si>
  <si>
    <t>90% DOD Min Vol</t>
  </si>
  <si>
    <t>90% DOD Max Vol</t>
  </si>
  <si>
    <t>Discharge Power (kW)</t>
  </si>
  <si>
    <t>100% DOD Energy (kWh)</t>
  </si>
  <si>
    <t>Capacity (Ah)</t>
  </si>
  <si>
    <t xml:space="preserve">Min Operating Temp (C) </t>
  </si>
  <si>
    <t xml:space="preserve">Max Operating Temp (C) </t>
  </si>
  <si>
    <t>Min Storage Temp (C)</t>
  </si>
  <si>
    <t>Max Storage Temp (C)</t>
  </si>
  <si>
    <t>Pack Number</t>
  </si>
  <si>
    <t>ESD1267-05P-3421</t>
  </si>
  <si>
    <t>Cell Number</t>
  </si>
  <si>
    <t>Rack Number</t>
  </si>
  <si>
    <t>ESD1331-05P5015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</si>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</sst>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AE34A-F18F-43FB-A736-2E046C213DCB}" name="Table1" displayName="Table1" ref="A1:I19" totalsRowShown="0" headerRowDxfId="12" dataDxfId="10" headerRowBorderDxfId="11" tableBorderDxfId="9">
  <autoFilter ref="A1:I19" xr:uid="{9A1AE34A-F18F-43FB-A736-2E046C213DCB}"/>
  <tableColumns count="9">
    <tableColumn id="1" xr3:uid="{E2E91C2A-ED6D-4B44-A1CF-F5DB12FCFE55}" name="Primary Inputs" dataDxfId="7"/>
    <tableColumn id="5" xr3:uid="{8CF2EDAC-ECF4-4BE2-8354-CE5FEA1D6FD3}" name="ESD1267-05P760-G" dataDxfId="8"/>
    <tableColumn id="2" xr3:uid="{9E69ACC2-FE19-477E-8507-ED4D838DA795}" name="ESD1126-05P676-G" dataDxfId="6"/>
    <tableColumn id="3" xr3:uid="{19C9603E-7A82-41C7-8A38-95A805DFAC1D}" name="ESD985-05P591-G" dataDxfId="5"/>
    <tableColumn id="7" xr3:uid="{8A6BD4D7-0BD4-49AA-B47F-8C95CBAF0A70}" name="ESD844-05P507-G" dataDxfId="4"/>
    <tableColumn id="6" xr3:uid="{98174C47-7CC1-473D-8B23-3E3A1C5D750E}" name="ESD704-05P422-G" dataDxfId="3"/>
    <tableColumn id="4" xr3:uid="{C8240589-C429-47B2-B386-92F6367A8C86}" name="ESD563-05P338-G" dataDxfId="2"/>
    <tableColumn id="8" xr3:uid="{F1D3A76E-A679-413A-AE73-7B876C343A26}" name="ESD1267-05P-3421" dataDxfId="1"/>
    <tableColumn id="9" xr3:uid="{F7595560-40B9-46C8-9741-04F57A3D0A68}" name="ESD1331-05P50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90" zoomScaleNormal="90" workbookViewId="0">
      <selection activeCell="A6" sqref="A6"/>
    </sheetView>
  </sheetViews>
  <sheetFormatPr defaultColWidth="24.85546875" defaultRowHeight="15" x14ac:dyDescent="0.25"/>
  <cols>
    <col min="1" max="1" width="22.5703125" bestFit="1" customWidth="1"/>
    <col min="2" max="3" width="21.7109375" bestFit="1" customWidth="1"/>
    <col min="4" max="7" width="20.7109375" bestFit="1" customWidth="1"/>
    <col min="8" max="8" width="21.42578125" bestFit="1" customWidth="1"/>
    <col min="9" max="9" width="20.71093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22</v>
      </c>
      <c r="I1" s="2" t="s">
        <v>25</v>
      </c>
    </row>
    <row r="2" spans="1:9" x14ac:dyDescent="0.25">
      <c r="A2" s="4" t="s">
        <v>16</v>
      </c>
      <c r="B2" s="5">
        <v>300</v>
      </c>
      <c r="C2" s="5">
        <v>300</v>
      </c>
      <c r="D2" s="5">
        <v>300</v>
      </c>
      <c r="E2" s="5">
        <v>300</v>
      </c>
      <c r="F2" s="5">
        <v>300</v>
      </c>
      <c r="G2" s="5">
        <v>300</v>
      </c>
      <c r="H2" s="5">
        <v>300</v>
      </c>
      <c r="I2" s="5">
        <v>314</v>
      </c>
    </row>
    <row r="3" spans="1:9" x14ac:dyDescent="0.25">
      <c r="A3" s="4" t="s">
        <v>23</v>
      </c>
      <c r="B3" s="5">
        <f>44*2*B4</f>
        <v>792</v>
      </c>
      <c r="C3" s="5">
        <f t="shared" ref="C3:G3" si="0">44*2*C4</f>
        <v>704</v>
      </c>
      <c r="D3" s="5">
        <f t="shared" si="0"/>
        <v>616</v>
      </c>
      <c r="E3" s="5">
        <f t="shared" si="0"/>
        <v>528</v>
      </c>
      <c r="F3" s="5">
        <f t="shared" si="0"/>
        <v>440</v>
      </c>
      <c r="G3" s="5">
        <f t="shared" si="0"/>
        <v>352</v>
      </c>
      <c r="H3" s="5">
        <v>3564</v>
      </c>
      <c r="I3" s="5">
        <v>4992</v>
      </c>
    </row>
    <row r="4" spans="1:9" x14ac:dyDescent="0.25">
      <c r="A4" s="4" t="s">
        <v>21</v>
      </c>
      <c r="B4" s="5">
        <v>9</v>
      </c>
      <c r="C4" s="5">
        <v>8</v>
      </c>
      <c r="D4" s="5">
        <v>7</v>
      </c>
      <c r="E4" s="5">
        <v>6</v>
      </c>
      <c r="F4" s="5">
        <v>5</v>
      </c>
      <c r="G4" s="5">
        <v>4</v>
      </c>
      <c r="H4" s="5">
        <v>81</v>
      </c>
      <c r="I4" s="5">
        <v>48</v>
      </c>
    </row>
    <row r="5" spans="1:9" x14ac:dyDescent="0.25">
      <c r="A5" s="4" t="s">
        <v>24</v>
      </c>
      <c r="B5" s="5">
        <v>2</v>
      </c>
      <c r="C5" s="5">
        <v>2</v>
      </c>
      <c r="D5" s="5">
        <v>2</v>
      </c>
      <c r="E5" s="5">
        <v>2</v>
      </c>
      <c r="F5" s="5">
        <v>2</v>
      </c>
      <c r="G5" s="5">
        <v>2</v>
      </c>
      <c r="H5" s="5">
        <v>9</v>
      </c>
      <c r="I5" s="5">
        <v>6</v>
      </c>
    </row>
    <row r="6" spans="1:9" x14ac:dyDescent="0.25">
      <c r="A6" s="4" t="s">
        <v>15</v>
      </c>
      <c r="B6" s="5">
        <v>760.32</v>
      </c>
      <c r="C6" s="5">
        <v>675.84</v>
      </c>
      <c r="D6" s="5">
        <v>591.36</v>
      </c>
      <c r="E6" s="5">
        <v>506.88</v>
      </c>
      <c r="F6" s="5">
        <v>422.4</v>
      </c>
      <c r="G6" s="5">
        <v>337.92</v>
      </c>
      <c r="H6" s="5">
        <v>3421.44</v>
      </c>
      <c r="I6" s="5">
        <v>5015.96</v>
      </c>
    </row>
    <row r="7" spans="1:9" x14ac:dyDescent="0.25">
      <c r="A7" s="4" t="s">
        <v>7</v>
      </c>
      <c r="B7" s="5">
        <v>1267.2</v>
      </c>
      <c r="C7" s="5">
        <v>1126.4000000000001</v>
      </c>
      <c r="D7" s="5">
        <v>985.6</v>
      </c>
      <c r="E7" s="5">
        <v>844.8</v>
      </c>
      <c r="F7" s="5">
        <v>704</v>
      </c>
      <c r="G7" s="5">
        <v>563.20000000000005</v>
      </c>
      <c r="H7" s="5">
        <v>1267.2</v>
      </c>
      <c r="I7" s="5">
        <v>1331.2</v>
      </c>
    </row>
    <row r="8" spans="1:9" x14ac:dyDescent="0.25">
      <c r="A8" s="4" t="s">
        <v>8</v>
      </c>
      <c r="B8" s="3">
        <v>990</v>
      </c>
      <c r="C8" s="3">
        <v>880</v>
      </c>
      <c r="D8" s="3">
        <f>D4*2.5*44</f>
        <v>770</v>
      </c>
      <c r="E8" s="3">
        <f t="shared" ref="E8:G8" si="1">E4*2.5*44</f>
        <v>660</v>
      </c>
      <c r="F8" s="3">
        <f t="shared" si="1"/>
        <v>550</v>
      </c>
      <c r="G8" s="3">
        <f t="shared" si="1"/>
        <v>440</v>
      </c>
      <c r="H8" s="3">
        <v>990</v>
      </c>
      <c r="I8" s="3">
        <v>1040</v>
      </c>
    </row>
    <row r="9" spans="1:9" x14ac:dyDescent="0.25">
      <c r="A9" s="4" t="s">
        <v>9</v>
      </c>
      <c r="B9" s="3">
        <v>1445.4</v>
      </c>
      <c r="C9" s="3">
        <v>1284.8</v>
      </c>
      <c r="D9" s="3">
        <f>3.65*44*D4</f>
        <v>1124.2</v>
      </c>
      <c r="E9" s="3">
        <f t="shared" ref="E9:G9" si="2">3.65*44*E4</f>
        <v>963.59999999999991</v>
      </c>
      <c r="F9" s="3">
        <f t="shared" si="2"/>
        <v>803</v>
      </c>
      <c r="G9" s="3">
        <f t="shared" si="2"/>
        <v>642.4</v>
      </c>
      <c r="H9" s="3">
        <v>1445.4</v>
      </c>
      <c r="I9" s="3">
        <v>1518.4</v>
      </c>
    </row>
    <row r="10" spans="1:9" x14ac:dyDescent="0.25">
      <c r="A10" s="4" t="s">
        <v>10</v>
      </c>
      <c r="B10" s="3">
        <v>1108.8</v>
      </c>
      <c r="C10" s="3">
        <v>985.6</v>
      </c>
      <c r="D10" s="3">
        <f>44*2.8*D4</f>
        <v>862.39999999999986</v>
      </c>
      <c r="E10" s="3">
        <f t="shared" ref="E10:G10" si="3">44*2.8*E4</f>
        <v>739.19999999999993</v>
      </c>
      <c r="F10" s="3">
        <f t="shared" si="3"/>
        <v>616</v>
      </c>
      <c r="G10" s="3">
        <f t="shared" si="3"/>
        <v>492.79999999999995</v>
      </c>
      <c r="H10" s="3">
        <v>1108.8</v>
      </c>
      <c r="I10" s="3">
        <v>1164.8</v>
      </c>
    </row>
    <row r="11" spans="1:9" x14ac:dyDescent="0.25">
      <c r="A11" s="4" t="s">
        <v>11</v>
      </c>
      <c r="B11" s="3">
        <v>1425.6</v>
      </c>
      <c r="C11" s="3">
        <v>1267.2</v>
      </c>
      <c r="D11" s="3">
        <f>3.6*44*D4</f>
        <v>1108.8</v>
      </c>
      <c r="E11" s="3">
        <f t="shared" ref="E11:G11" si="4">3.6*44*E4</f>
        <v>950.40000000000009</v>
      </c>
      <c r="F11" s="3">
        <f t="shared" si="4"/>
        <v>792</v>
      </c>
      <c r="G11" s="3">
        <f t="shared" si="4"/>
        <v>633.6</v>
      </c>
      <c r="H11" s="3">
        <v>1425.6</v>
      </c>
      <c r="I11" s="3">
        <v>1497.6</v>
      </c>
    </row>
    <row r="12" spans="1:9" x14ac:dyDescent="0.25">
      <c r="A12" s="4" t="s">
        <v>12</v>
      </c>
      <c r="B12" s="3">
        <v>1188</v>
      </c>
      <c r="C12" s="3">
        <v>1056</v>
      </c>
      <c r="D12" s="3">
        <f>3*44*D4</f>
        <v>924</v>
      </c>
      <c r="E12" s="3">
        <f t="shared" ref="E12:G12" si="5">3*44*E4</f>
        <v>792</v>
      </c>
      <c r="F12" s="3">
        <f t="shared" si="5"/>
        <v>660</v>
      </c>
      <c r="G12" s="3">
        <f t="shared" si="5"/>
        <v>528</v>
      </c>
      <c r="H12" s="3">
        <v>1188</v>
      </c>
      <c r="I12" s="3">
        <v>1248</v>
      </c>
    </row>
    <row r="13" spans="1:9" x14ac:dyDescent="0.25">
      <c r="A13" s="4" t="s">
        <v>13</v>
      </c>
      <c r="B13" s="3">
        <v>1386</v>
      </c>
      <c r="C13" s="3">
        <v>1232</v>
      </c>
      <c r="D13" s="3">
        <f>3.5*44*D4</f>
        <v>1078</v>
      </c>
      <c r="E13" s="3">
        <f t="shared" ref="E13:G13" si="6">3.5*44*E4</f>
        <v>924</v>
      </c>
      <c r="F13" s="3">
        <f t="shared" si="6"/>
        <v>770</v>
      </c>
      <c r="G13" s="3">
        <f t="shared" si="6"/>
        <v>616</v>
      </c>
      <c r="H13" s="3">
        <v>1386</v>
      </c>
      <c r="I13" s="3">
        <v>1456</v>
      </c>
    </row>
    <row r="14" spans="1:9" x14ac:dyDescent="0.25">
      <c r="A14" s="4" t="s">
        <v>14</v>
      </c>
      <c r="B14" s="3">
        <v>380.16</v>
      </c>
      <c r="C14" s="3">
        <v>337.92</v>
      </c>
      <c r="D14" s="3">
        <f>D6/2</f>
        <v>295.68</v>
      </c>
      <c r="E14" s="3">
        <f t="shared" ref="E14:G14" si="7">E6/2</f>
        <v>253.44</v>
      </c>
      <c r="F14" s="3">
        <f t="shared" si="7"/>
        <v>211.2</v>
      </c>
      <c r="G14" s="3">
        <f t="shared" si="7"/>
        <v>168.96</v>
      </c>
      <c r="H14" s="3">
        <v>1710.72</v>
      </c>
      <c r="I14" s="3">
        <v>2507.5</v>
      </c>
    </row>
    <row r="15" spans="1:9" x14ac:dyDescent="0.25">
      <c r="A15" s="4" t="s">
        <v>17</v>
      </c>
      <c r="B15" s="3">
        <v>-20</v>
      </c>
      <c r="C15" s="3">
        <v>-20</v>
      </c>
      <c r="D15" s="3">
        <v>-20</v>
      </c>
      <c r="E15" s="3">
        <v>-20</v>
      </c>
      <c r="F15" s="3">
        <v>-20</v>
      </c>
      <c r="G15" s="3">
        <v>-20</v>
      </c>
      <c r="H15" s="3">
        <v>-30</v>
      </c>
      <c r="I15" s="3">
        <v>-30</v>
      </c>
    </row>
    <row r="16" spans="1:9" x14ac:dyDescent="0.25">
      <c r="A16" s="4" t="s">
        <v>18</v>
      </c>
      <c r="B16" s="3">
        <v>45</v>
      </c>
      <c r="C16" s="3">
        <v>45</v>
      </c>
      <c r="D16" s="3">
        <v>45</v>
      </c>
      <c r="E16" s="3">
        <v>45</v>
      </c>
      <c r="F16" s="3">
        <v>45</v>
      </c>
      <c r="G16" s="3">
        <v>45</v>
      </c>
      <c r="H16" s="3">
        <v>50</v>
      </c>
      <c r="I16" s="3">
        <v>55</v>
      </c>
    </row>
    <row r="17" spans="1:9" x14ac:dyDescent="0.25">
      <c r="A17" s="4" t="s">
        <v>19</v>
      </c>
      <c r="B17" s="3">
        <v>-30</v>
      </c>
      <c r="C17" s="3">
        <v>-30</v>
      </c>
      <c r="D17" s="3">
        <v>-30</v>
      </c>
      <c r="E17" s="3">
        <v>-30</v>
      </c>
      <c r="F17" s="3">
        <v>-30</v>
      </c>
      <c r="G17" s="3">
        <v>-30</v>
      </c>
      <c r="H17" s="3">
        <v>-30</v>
      </c>
      <c r="I17" s="3">
        <v>-30</v>
      </c>
    </row>
    <row r="18" spans="1:9" x14ac:dyDescent="0.25">
      <c r="A18" s="4" t="s">
        <v>20</v>
      </c>
      <c r="B18" s="3">
        <v>60</v>
      </c>
      <c r="C18" s="3">
        <v>60</v>
      </c>
      <c r="D18" s="3">
        <v>60</v>
      </c>
      <c r="E18" s="3">
        <v>60</v>
      </c>
      <c r="F18" s="3">
        <v>60</v>
      </c>
      <c r="G18" s="3">
        <v>60</v>
      </c>
      <c r="H18" s="3">
        <v>60</v>
      </c>
      <c r="I18" s="3">
        <v>60</v>
      </c>
    </row>
    <row r="19" spans="1:9" x14ac:dyDescent="0.25">
      <c r="A19" s="6" t="s">
        <v>26</v>
      </c>
      <c r="B19" s="7">
        <v>8000</v>
      </c>
      <c r="C19" s="7">
        <v>7374</v>
      </c>
      <c r="D19" s="7">
        <v>6748</v>
      </c>
      <c r="E19" s="7">
        <v>6122</v>
      </c>
      <c r="F19" s="7">
        <v>5496</v>
      </c>
      <c r="G19" s="7">
        <v>4870</v>
      </c>
      <c r="H19" s="7">
        <v>37000</v>
      </c>
      <c r="I19" s="7">
        <v>44000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 Ding</dc:creator>
  <cp:lastModifiedBy>Hansen Ding</cp:lastModifiedBy>
  <dcterms:created xsi:type="dcterms:W3CDTF">2015-06-05T18:17:20Z</dcterms:created>
  <dcterms:modified xsi:type="dcterms:W3CDTF">2025-12-03T20:17:42Z</dcterms:modified>
</cp:coreProperties>
</file>